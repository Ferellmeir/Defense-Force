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s" sheetId="1" r:id="rId5"/>
    <sheet state="visible" name="random upgrade path pool" sheetId="2" r:id="rId6"/>
    <sheet state="visible" name="Faction upgrade paths" sheetId="3" r:id="rId7"/>
    <sheet state="visible" name="Weapons" sheetId="4" r:id="rId8"/>
    <sheet state="visible" name="Utility equipment" sheetId="5" r:id="rId9"/>
    <sheet state="visible" name="Augments" sheetId="6" r:id="rId10"/>
  </sheets>
  <definedNames/>
  <calcPr/>
</workbook>
</file>

<file path=xl/sharedStrings.xml><?xml version="1.0" encoding="utf-8"?>
<sst xmlns="http://schemas.openxmlformats.org/spreadsheetml/2006/main" count="517" uniqueCount="263">
  <si>
    <t>Unit name</t>
  </si>
  <si>
    <t>Att Spd</t>
  </si>
  <si>
    <t>Crit %</t>
  </si>
  <si>
    <t>Crit Mod</t>
  </si>
  <si>
    <t>Rngd skill</t>
  </si>
  <si>
    <t>Melee skill</t>
  </si>
  <si>
    <t>Reload spd</t>
  </si>
  <si>
    <t>Wpn Restrictions</t>
  </si>
  <si>
    <t>Cost (force)</t>
  </si>
  <si>
    <t>Faction</t>
  </si>
  <si>
    <t>Ugrade paths 1st 3</t>
  </si>
  <si>
    <t>bonus benefits path 1</t>
  </si>
  <si>
    <t>Ugrade paths 2nd 3</t>
  </si>
  <si>
    <t>bonus benefits path 2</t>
  </si>
  <si>
    <t>Ugrade paths 3rd 2</t>
  </si>
  <si>
    <t>bonus benefits path 3</t>
  </si>
  <si>
    <t>Passive ability</t>
  </si>
  <si>
    <t>Gutter Thugs</t>
  </si>
  <si>
    <t>Heavy</t>
  </si>
  <si>
    <t>Underworld network</t>
  </si>
  <si>
    <t>Damage +5%</t>
  </si>
  <si>
    <t>damage +10%</t>
  </si>
  <si>
    <t>Random</t>
  </si>
  <si>
    <t>aligns with rolled random</t>
  </si>
  <si>
    <t xml:space="preserve">10% chance to ignore 50% armor on hit </t>
  </si>
  <si>
    <t>25% chance to apply weakened on hit</t>
  </si>
  <si>
    <t>Veterancy upgrades cost 15% less force</t>
  </si>
  <si>
    <t>Increase sell value 10%</t>
  </si>
  <si>
    <t>1 extra XP per kill</t>
  </si>
  <si>
    <t>5% chance stun with melee weapon .5 seconds</t>
  </si>
  <si>
    <t>10% att Spd</t>
  </si>
  <si>
    <t>gains .75% damage per unit on map</t>
  </si>
  <si>
    <t>10% att spd</t>
  </si>
  <si>
    <t>first hit 15% damage</t>
  </si>
  <si>
    <t>crit mod +25%</t>
  </si>
  <si>
    <t>status effects last 7% longer</t>
  </si>
  <si>
    <t>10% chance to refresh duration of status effects</t>
  </si>
  <si>
    <t>Anarcho saboteurs</t>
  </si>
  <si>
    <t>fire dot effect slows enemies 5%</t>
  </si>
  <si>
    <t>fire dot duration +25%</t>
  </si>
  <si>
    <t>crits apply the crit mod to fire dot</t>
  </si>
  <si>
    <t>5% chance to double fire dot</t>
  </si>
  <si>
    <t>crit mod +15%</t>
  </si>
  <si>
    <t>damage +2% per enemy within 3</t>
  </si>
  <si>
    <t>range +1</t>
  </si>
  <si>
    <t>Crits spread fire dot to nearby enemes, +.3 range</t>
  </si>
  <si>
    <t>crit +10%</t>
  </si>
  <si>
    <t>Syndicate fixer</t>
  </si>
  <si>
    <t>when an enemy is killed +25% instant reload</t>
  </si>
  <si>
    <t>killed enemies immediately end any on going effects</t>
  </si>
  <si>
    <t>Crits increase the chance of the next crit by 5%</t>
  </si>
  <si>
    <t>additional 10%</t>
  </si>
  <si>
    <t>when an enemy enters range 5% chance to apply vulnerable (25%)</t>
  </si>
  <si>
    <t>vulnerable enemies give +10% xp when killed</t>
  </si>
  <si>
    <t>attacked enemies that survive give +5% force when killed</t>
  </si>
  <si>
    <t>Belter Pirate</t>
  </si>
  <si>
    <t>10% chance of bleed per hit (10% of current health over 5 seconds)</t>
  </si>
  <si>
    <t>att spd +10%</t>
  </si>
  <si>
    <t>15% damage bonus with 1 handed weapons</t>
  </si>
  <si>
    <t>crit +4% when wielding ranged and melee weapons</t>
  </si>
  <si>
    <t>veterancy force cost -10%</t>
  </si>
  <si>
    <t>force +5% per unit killed</t>
  </si>
  <si>
    <t>aoe size and damage +5%</t>
  </si>
  <si>
    <t xml:space="preserve">after attacking with melee or ranged the next opposite type of hit deals +25% damage </t>
  </si>
  <si>
    <t>Pallid order blade</t>
  </si>
  <si>
    <t>Fire arms</t>
  </si>
  <si>
    <t>damage +.25% per 1% of health missing from target</t>
  </si>
  <si>
    <t>crit chance +10%</t>
  </si>
  <si>
    <t>doubles the effect of poison</t>
  </si>
  <si>
    <t>crit mod +25% when using 1 1 handed weapon</t>
  </si>
  <si>
    <t>att spd +15%</t>
  </si>
  <si>
    <t>5% chance to ignore 75% armor on hit</t>
  </si>
  <si>
    <t xml:space="preserve">10% chance for double attack </t>
  </si>
  <si>
    <t>damage +5% per status effect on target</t>
  </si>
  <si>
    <t>triggers a tick of all status effects on hit. (doesnt effect duration)</t>
  </si>
  <si>
    <t>Ashigaru</t>
  </si>
  <si>
    <t>Laisung Collective</t>
  </si>
  <si>
    <t>force per kill +1</t>
  </si>
  <si>
    <t>additional +2 force</t>
  </si>
  <si>
    <t>15% to apply exposed (10%) on hit</t>
  </si>
  <si>
    <t>Reload spd bonus 7.5% per adjacent ashigaru max 2</t>
  </si>
  <si>
    <t>8.5% bonus to damage after reload for 1.5 seconds</t>
  </si>
  <si>
    <t>5% Chance to slow(35% for 5 seconds) on hit</t>
  </si>
  <si>
    <t>10% crit chance</t>
  </si>
  <si>
    <t>when a % based on hit effect is applied to the target adjacent allies +5% dmg (max 2 allies, 5 second duration, doesnt stack)</t>
  </si>
  <si>
    <t>all % chance to activate abilities trigger at a 2.5% higher rate</t>
  </si>
  <si>
    <t>bonus stats from utility equipment increase 5%</t>
  </si>
  <si>
    <t>subsiquent attacks on the same target increase crit chance 2% max 20%</t>
  </si>
  <si>
    <t>Infiltrator</t>
  </si>
  <si>
    <t>Heavy, explosion</t>
  </si>
  <si>
    <t>Crit mod +25%</t>
  </si>
  <si>
    <t>on hit against exposed +15% att spd for 5 seconds (doesnt stack)</t>
  </si>
  <si>
    <t>on hit poison +5%</t>
  </si>
  <si>
    <t>on hit poison +10%</t>
  </si>
  <si>
    <t>when dual wielding +7.5% damage</t>
  </si>
  <si>
    <t>on hit vulnerable +15% chance</t>
  </si>
  <si>
    <t>10% chance attacks deal +1% damage per missing hp% of target (only target, bonus dmg not applied to additional targets)</t>
  </si>
  <si>
    <t>reload spd 30%</t>
  </si>
  <si>
    <t>Shinobi</t>
  </si>
  <si>
    <t>fire arms</t>
  </si>
  <si>
    <t>crit +5%</t>
  </si>
  <si>
    <t xml:space="preserve">on killing blow make free attack against enemy in range, 2 second cooldown </t>
  </si>
  <si>
    <t>dmg +20%, -10% att spd for 5 sec on crit</t>
  </si>
  <si>
    <t>on crit next attack +12.5% penetration</t>
  </si>
  <si>
    <t xml:space="preserve">bleed on hit +15% chance </t>
  </si>
  <si>
    <t>bleed duration +2 sec</t>
  </si>
  <si>
    <t>Siege Frame</t>
  </si>
  <si>
    <t>none</t>
  </si>
  <si>
    <t>inherent attack +100% damage</t>
  </si>
  <si>
    <t>15% chance double att</t>
  </si>
  <si>
    <t>has an inherent attack separate from loadout weapons (80 dmg, range 3, att spd .2, crit 0 crit mod 0, aoe 50% dmg range 1)</t>
  </si>
  <si>
    <t>dmg +10% when using heavy weapons</t>
  </si>
  <si>
    <t>aoe size +1</t>
  </si>
  <si>
    <t>crits on exposed enemies deal +25% dmg</t>
  </si>
  <si>
    <t>15% chance of applying exposed on hit</t>
  </si>
  <si>
    <t>aoe dmg +30%</t>
  </si>
  <si>
    <t xml:space="preserve">15% chance to slow on hit </t>
  </si>
  <si>
    <t>random stat (crit +2.5%, crit mod +10%, att speed +5%, range +.2, reload +5%)</t>
  </si>
  <si>
    <t>the random stat is rolled from all options equally each time a unit is deployed</t>
  </si>
  <si>
    <t>bonus for random stat is double 1 rank of the upgrade path so for att speed it would be 10% for range it would be +.4</t>
  </si>
  <si>
    <t xml:space="preserve">Faction </t>
  </si>
  <si>
    <t xml:space="preserve">path 1 </t>
  </si>
  <si>
    <t>Bonus 1</t>
  </si>
  <si>
    <t xml:space="preserve">path 2 </t>
  </si>
  <si>
    <t>Bonus 2</t>
  </si>
  <si>
    <t>Underworld Network</t>
  </si>
  <si>
    <t>all % chance to activate abilities trigger at a 5% higher rate</t>
  </si>
  <si>
    <t xml:space="preserve">Weapon </t>
  </si>
  <si>
    <t>Slot</t>
  </si>
  <si>
    <t>tags</t>
  </si>
  <si>
    <t>Damage type</t>
  </si>
  <si>
    <t>Damage</t>
  </si>
  <si>
    <t>Critical chance</t>
  </si>
  <si>
    <t>Critical modifer</t>
  </si>
  <si>
    <t>range</t>
  </si>
  <si>
    <t>attacks per second</t>
  </si>
  <si>
    <t>penetration</t>
  </si>
  <si>
    <t>ammo</t>
  </si>
  <si>
    <t>reload time</t>
  </si>
  <si>
    <t>on attack effect</t>
  </si>
  <si>
    <t>special property</t>
  </si>
  <si>
    <t>cost</t>
  </si>
  <si>
    <t>rarity</t>
  </si>
  <si>
    <t xml:space="preserve">faction </t>
  </si>
  <si>
    <t>dps with crit</t>
  </si>
  <si>
    <t>dps with reload</t>
  </si>
  <si>
    <t>Lead pipe</t>
  </si>
  <si>
    <t>2 handed</t>
  </si>
  <si>
    <t>melee</t>
  </si>
  <si>
    <t>physical</t>
  </si>
  <si>
    <t>-</t>
  </si>
  <si>
    <t>makeshift</t>
  </si>
  <si>
    <t>Slum gat</t>
  </si>
  <si>
    <t xml:space="preserve">1 handed </t>
  </si>
  <si>
    <t>ranged fast</t>
  </si>
  <si>
    <t>Shiv</t>
  </si>
  <si>
    <t>1 handed</t>
  </si>
  <si>
    <t>Antique rifle</t>
  </si>
  <si>
    <t>Lasor pistol</t>
  </si>
  <si>
    <t>energy</t>
  </si>
  <si>
    <t>common</t>
  </si>
  <si>
    <t>Stud grenade</t>
  </si>
  <si>
    <t>ranged slow</t>
  </si>
  <si>
    <t xml:space="preserve">physical </t>
  </si>
  <si>
    <t>100% aoe 2 range</t>
  </si>
  <si>
    <t>sub machine gun</t>
  </si>
  <si>
    <t>uncommon</t>
  </si>
  <si>
    <t xml:space="preserve">Combat Beam Rifle </t>
  </si>
  <si>
    <t xml:space="preserve">2 handed </t>
  </si>
  <si>
    <t xml:space="preserve">Rpg </t>
  </si>
  <si>
    <t>ranged fast, heavy</t>
  </si>
  <si>
    <t>laser blade</t>
  </si>
  <si>
    <t xml:space="preserve">melee </t>
  </si>
  <si>
    <t xml:space="preserve">uncommon </t>
  </si>
  <si>
    <t>Munition grade barrage rifle</t>
  </si>
  <si>
    <t>Chain gun</t>
  </si>
  <si>
    <t>rare</t>
  </si>
  <si>
    <t>Thermal lance</t>
  </si>
  <si>
    <t xml:space="preserve">melee, heavy </t>
  </si>
  <si>
    <t>fire</t>
  </si>
  <si>
    <t>Caustic K38 rifle</t>
  </si>
  <si>
    <t>acid</t>
  </si>
  <si>
    <t>exotic</t>
  </si>
  <si>
    <t>Auto targeting rifle</t>
  </si>
  <si>
    <t>exposed (10)</t>
  </si>
  <si>
    <t>legendary</t>
  </si>
  <si>
    <t>Sewer rats</t>
  </si>
  <si>
    <t>poison injector</t>
  </si>
  <si>
    <t>poison</t>
  </si>
  <si>
    <t>Molotov cocktail</t>
  </si>
  <si>
    <t>Acid blade</t>
  </si>
  <si>
    <t>doubles acid effects</t>
  </si>
  <si>
    <t>Ghost blade</t>
  </si>
  <si>
    <t xml:space="preserve">rare </t>
  </si>
  <si>
    <t>Chloric napalm thrower</t>
  </si>
  <si>
    <t xml:space="preserve">reduces armor 5 per hit </t>
  </si>
  <si>
    <t>Laisung collective</t>
  </si>
  <si>
    <t xml:space="preserve">Arquebus </t>
  </si>
  <si>
    <t>Yari</t>
  </si>
  <si>
    <t>2 ranged but melee</t>
  </si>
  <si>
    <t>name</t>
  </si>
  <si>
    <t xml:space="preserve">efftect 1 </t>
  </si>
  <si>
    <t xml:space="preserve">effect 2 </t>
  </si>
  <si>
    <t>drawback</t>
  </si>
  <si>
    <t>cost (credits)</t>
  </si>
  <si>
    <t>faction</t>
  </si>
  <si>
    <t>Stimpack</t>
  </si>
  <si>
    <t xml:space="preserve">att spd +15% </t>
  </si>
  <si>
    <t>triggers at start of wave and lasts 20 seconds</t>
  </si>
  <si>
    <t>Exploiter Drone</t>
  </si>
  <si>
    <t>15% chance to lower enemies armor 3 when it enters range</t>
  </si>
  <si>
    <t>Vulnerability display</t>
  </si>
  <si>
    <t>crit mod + 25%</t>
  </si>
  <si>
    <t>Sanguinary severance chip</t>
  </si>
  <si>
    <t>on crit +1% bleed chance (15%)</t>
  </si>
  <si>
    <t>on crit -1% crit chance</t>
  </si>
  <si>
    <t>Laisung</t>
  </si>
  <si>
    <t>Nano exacerbaters</t>
  </si>
  <si>
    <t xml:space="preserve">15% chance on hit to apply vulnerable </t>
  </si>
  <si>
    <t>skeletal fused vibroblade enhancements</t>
  </si>
  <si>
    <t>melee damage +10%</t>
  </si>
  <si>
    <t>bleed on melee damage +15% chance(10% of current health over 5 seconds)</t>
  </si>
  <si>
    <t xml:space="preserve">Chemmix temp boost additive </t>
  </si>
  <si>
    <t xml:space="preserve">adds fire damage dot to none fire weapons </t>
  </si>
  <si>
    <t>Doubles damage of fire damage dot of fire weapons</t>
  </si>
  <si>
    <t xml:space="preserve">Coupler fibers </t>
  </si>
  <si>
    <t>Crit +5%</t>
  </si>
  <si>
    <t>cost +5 (force)</t>
  </si>
  <si>
    <t xml:space="preserve">common </t>
  </si>
  <si>
    <t>Mag-well spacer</t>
  </si>
  <si>
    <t>reload +12%</t>
  </si>
  <si>
    <t>Heavy-mount braces</t>
  </si>
  <si>
    <t>crit mod -10%</t>
  </si>
  <si>
    <t>only 2H weapons</t>
  </si>
  <si>
    <t>Retinal optics</t>
  </si>
  <si>
    <t>att spd -5%</t>
  </si>
  <si>
    <t>Kinetic rail inserts</t>
  </si>
  <si>
    <t>damage +5%</t>
  </si>
  <si>
    <t>pen +15%</t>
  </si>
  <si>
    <t>reload -25%</t>
  </si>
  <si>
    <t>only ranged weapons</t>
  </si>
  <si>
    <t>Dual-link actuators</t>
  </si>
  <si>
    <t>—</t>
  </si>
  <si>
    <t>damage +10 while two 1H weapons equipped</t>
  </si>
  <si>
    <t>neurolinked fatigue inhibitors</t>
  </si>
  <si>
    <t>-5% crit</t>
  </si>
  <si>
    <t>Cybernetic skeletal enhancer</t>
  </si>
  <si>
    <t>damage +15%</t>
  </si>
  <si>
    <t>penetration +5%</t>
  </si>
  <si>
    <t>only affects melee weapons</t>
  </si>
  <si>
    <t>Homeostatic limiter</t>
  </si>
  <si>
    <t>force cost -5</t>
  </si>
  <si>
    <t xml:space="preserve">Nano neuron stimuli </t>
  </si>
  <si>
    <t>all % based abilities have +10% chance to activate</t>
  </si>
  <si>
    <t>Nervous system electrolysis</t>
  </si>
  <si>
    <t>energy damage deals +30% damage</t>
  </si>
  <si>
    <t>att spd -10%</t>
  </si>
  <si>
    <t>energy damage has 15% chance to stun enemies for .5 seconds</t>
  </si>
  <si>
    <t>Cerebral uplink: ruthlessness</t>
  </si>
  <si>
    <t>damage +25%</t>
  </si>
  <si>
    <t>crit mod +50%</t>
  </si>
  <si>
    <t>-5% att spd</t>
  </si>
  <si>
    <t>on kill, +10% crit chance (doesnt stack)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</si>
</sst>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7.0"/>
    <col customWidth="1" min="3" max="3" width="6.0"/>
    <col customWidth="1" min="4" max="4" width="7.88"/>
    <col customWidth="1" min="5" max="5" width="9.0"/>
    <col customWidth="1" min="6" max="6" width="9.5"/>
    <col customWidth="1" min="7" max="8" width="10.25"/>
    <col customWidth="1" min="9" max="9" width="4.75"/>
    <col customWidth="1" min="10" max="10" width="7.0"/>
    <col customWidth="1" min="11" max="11" width="26.63"/>
    <col customWidth="1" min="12" max="12" width="16.88"/>
    <col customWidth="1" min="13" max="13" width="28.0"/>
    <col customWidth="1" min="14" max="14" width="21.13"/>
    <col customWidth="1" min="15" max="15" width="30.75"/>
    <col customWidth="1" min="16" max="16" width="18.38"/>
    <col customWidth="1" min="17" max="17" width="1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" t="s">
        <v>17</v>
      </c>
      <c r="B2" s="4">
        <v>-0.05</v>
      </c>
      <c r="C2" s="1">
        <v>0.0</v>
      </c>
      <c r="D2" s="1">
        <v>0.0</v>
      </c>
      <c r="E2" s="1">
        <v>0.0</v>
      </c>
      <c r="F2" s="1">
        <v>0.0</v>
      </c>
      <c r="G2" s="4">
        <v>-0.05</v>
      </c>
      <c r="H2" s="1" t="s">
        <v>18</v>
      </c>
      <c r="I2" s="1">
        <v>9.0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1" t="s">
        <v>33</v>
      </c>
      <c r="L4" s="1" t="s">
        <v>34</v>
      </c>
      <c r="M4" s="1" t="s">
        <v>35</v>
      </c>
      <c r="N4" s="1" t="s">
        <v>36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2" t="s">
        <v>37</v>
      </c>
      <c r="B6" s="1">
        <v>0.0</v>
      </c>
      <c r="C6" s="4">
        <v>0.1</v>
      </c>
      <c r="D6" s="1">
        <v>0.0</v>
      </c>
      <c r="E6" s="4">
        <v>0.15</v>
      </c>
      <c r="F6" s="4">
        <v>-0.1</v>
      </c>
      <c r="G6" s="1">
        <v>0.0</v>
      </c>
      <c r="H6" s="1"/>
      <c r="I6" s="1">
        <v>30.0</v>
      </c>
      <c r="J6" s="1" t="s">
        <v>19</v>
      </c>
      <c r="K6" s="1" t="s">
        <v>20</v>
      </c>
      <c r="L6" s="1" t="s">
        <v>21</v>
      </c>
      <c r="M6" s="1" t="s">
        <v>22</v>
      </c>
      <c r="N6" s="1" t="s">
        <v>23</v>
      </c>
      <c r="O6" s="1" t="s">
        <v>38</v>
      </c>
      <c r="P6" s="1" t="s">
        <v>39</v>
      </c>
      <c r="Q6" s="1" t="s">
        <v>40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1" t="s">
        <v>41</v>
      </c>
      <c r="L7" s="1" t="s">
        <v>42</v>
      </c>
      <c r="M7" s="1" t="s">
        <v>43</v>
      </c>
      <c r="N7" s="1" t="s">
        <v>44</v>
      </c>
      <c r="O7" s="1" t="s">
        <v>45</v>
      </c>
      <c r="P7" s="1" t="s">
        <v>46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1" t="s">
        <v>33</v>
      </c>
      <c r="L8" s="1" t="s">
        <v>34</v>
      </c>
      <c r="M8" s="1" t="s">
        <v>35</v>
      </c>
      <c r="N8" s="1" t="s">
        <v>36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" t="s">
        <v>47</v>
      </c>
      <c r="B10" s="4">
        <v>-0.35</v>
      </c>
      <c r="C10" s="4">
        <v>0.15</v>
      </c>
      <c r="D10" s="4">
        <v>1.0</v>
      </c>
      <c r="E10" s="4">
        <v>0.2</v>
      </c>
      <c r="F10" s="4">
        <v>-0.05</v>
      </c>
      <c r="G10" s="4">
        <v>0.25</v>
      </c>
      <c r="H10" s="1" t="s">
        <v>18</v>
      </c>
      <c r="I10" s="1">
        <v>25.0</v>
      </c>
      <c r="J10" s="1" t="s">
        <v>19</v>
      </c>
      <c r="K10" s="1" t="s">
        <v>20</v>
      </c>
      <c r="L10" s="1" t="s">
        <v>21</v>
      </c>
      <c r="M10" s="1" t="s">
        <v>22</v>
      </c>
      <c r="N10" s="1" t="s">
        <v>23</v>
      </c>
      <c r="O10" s="1" t="s">
        <v>48</v>
      </c>
      <c r="P10" s="1" t="s">
        <v>44</v>
      </c>
      <c r="Q10" s="1" t="s">
        <v>49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1" t="s">
        <v>50</v>
      </c>
      <c r="L11" s="1" t="s">
        <v>51</v>
      </c>
      <c r="M11" s="1" t="s">
        <v>52</v>
      </c>
      <c r="N11" s="1" t="s">
        <v>53</v>
      </c>
      <c r="O11" s="1" t="s">
        <v>54</v>
      </c>
      <c r="P11" s="1" t="s">
        <v>51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1" t="s">
        <v>33</v>
      </c>
      <c r="L12" s="1" t="s">
        <v>34</v>
      </c>
      <c r="M12" s="1" t="s">
        <v>35</v>
      </c>
      <c r="N12" s="1" t="s">
        <v>36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" t="s">
        <v>55</v>
      </c>
      <c r="B14" s="4">
        <v>0.05</v>
      </c>
      <c r="C14" s="4">
        <v>0.05</v>
      </c>
      <c r="D14" s="4">
        <v>0.25</v>
      </c>
      <c r="E14" s="1">
        <v>0.0</v>
      </c>
      <c r="F14" s="1">
        <v>0.0</v>
      </c>
      <c r="G14" s="1">
        <v>0.0</v>
      </c>
      <c r="H14" s="1"/>
      <c r="I14" s="1">
        <v>15.0</v>
      </c>
      <c r="J14" s="1" t="s">
        <v>19</v>
      </c>
      <c r="K14" s="1" t="s">
        <v>20</v>
      </c>
      <c r="L14" s="1" t="s">
        <v>21</v>
      </c>
      <c r="M14" s="1" t="s">
        <v>22</v>
      </c>
      <c r="N14" s="1" t="s">
        <v>23</v>
      </c>
      <c r="O14" s="1" t="s">
        <v>56</v>
      </c>
      <c r="P14" s="1" t="s">
        <v>57</v>
      </c>
      <c r="Q14" s="1" t="s">
        <v>58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1" t="s">
        <v>59</v>
      </c>
      <c r="L15" s="1" t="s">
        <v>60</v>
      </c>
      <c r="M15" s="1" t="s">
        <v>61</v>
      </c>
      <c r="N15" s="1" t="s">
        <v>57</v>
      </c>
      <c r="O15" s="1" t="s">
        <v>62</v>
      </c>
      <c r="P15" s="1" t="s">
        <v>63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1" t="s">
        <v>33</v>
      </c>
      <c r="L16" s="1" t="s">
        <v>34</v>
      </c>
      <c r="M16" s="1" t="s">
        <v>35</v>
      </c>
      <c r="N16" s="1" t="s">
        <v>36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" t="s">
        <v>64</v>
      </c>
      <c r="B18" s="4">
        <v>0.1</v>
      </c>
      <c r="C18" s="4">
        <v>0.15</v>
      </c>
      <c r="D18" s="4">
        <v>0.75</v>
      </c>
      <c r="E18" s="4">
        <v>-0.35</v>
      </c>
      <c r="F18" s="4">
        <v>0.15</v>
      </c>
      <c r="G18" s="4">
        <v>-0.25</v>
      </c>
      <c r="H18" s="1" t="s">
        <v>65</v>
      </c>
      <c r="I18" s="1">
        <v>35.0</v>
      </c>
      <c r="J18" s="1" t="s">
        <v>19</v>
      </c>
      <c r="K18" s="1" t="s">
        <v>20</v>
      </c>
      <c r="L18" s="1" t="s">
        <v>21</v>
      </c>
      <c r="M18" s="1" t="s">
        <v>22</v>
      </c>
      <c r="N18" s="1" t="s">
        <v>23</v>
      </c>
      <c r="O18" s="1" t="s">
        <v>66</v>
      </c>
      <c r="P18" s="1" t="s">
        <v>67</v>
      </c>
      <c r="Q18" s="1" t="s">
        <v>68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1" t="s">
        <v>69</v>
      </c>
      <c r="L19" s="1" t="s">
        <v>70</v>
      </c>
      <c r="M19" s="1" t="s">
        <v>71</v>
      </c>
      <c r="N19" s="1" t="s">
        <v>72</v>
      </c>
      <c r="O19" s="1" t="s">
        <v>73</v>
      </c>
      <c r="P19" s="1" t="s">
        <v>74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1" t="s">
        <v>33</v>
      </c>
      <c r="L20" s="1" t="s">
        <v>34</v>
      </c>
      <c r="M20" s="1" t="s">
        <v>35</v>
      </c>
      <c r="N20" s="1" t="s">
        <v>36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1" t="s">
        <v>75</v>
      </c>
      <c r="B22" s="1">
        <v>0.0</v>
      </c>
      <c r="C22" s="4">
        <v>0.05</v>
      </c>
      <c r="D22" s="4">
        <v>0.15</v>
      </c>
      <c r="E22" s="4">
        <v>0.1</v>
      </c>
      <c r="F22" s="1">
        <v>0.0</v>
      </c>
      <c r="G22" s="4">
        <v>0.0</v>
      </c>
      <c r="H22" s="1" t="s">
        <v>18</v>
      </c>
      <c r="I22" s="1">
        <v>15.0</v>
      </c>
      <c r="J22" s="1" t="s">
        <v>76</v>
      </c>
      <c r="K22" s="1" t="s">
        <v>20</v>
      </c>
      <c r="L22" s="1" t="s">
        <v>21</v>
      </c>
      <c r="M22" s="1" t="s">
        <v>22</v>
      </c>
      <c r="N22" s="1" t="s">
        <v>23</v>
      </c>
      <c r="O22" s="2" t="s">
        <v>77</v>
      </c>
      <c r="P22" s="2" t="s">
        <v>78</v>
      </c>
      <c r="Q22" s="2" t="s">
        <v>79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2" t="s">
        <v>80</v>
      </c>
      <c r="L23" s="1" t="s">
        <v>21</v>
      </c>
      <c r="M23" s="2" t="s">
        <v>81</v>
      </c>
      <c r="N23" s="1" t="s">
        <v>34</v>
      </c>
      <c r="O23" s="2" t="s">
        <v>82</v>
      </c>
      <c r="P23" s="2" t="s">
        <v>83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1" t="s">
        <v>84</v>
      </c>
      <c r="L24" s="1" t="s">
        <v>85</v>
      </c>
      <c r="M24" s="1" t="s">
        <v>86</v>
      </c>
      <c r="N24" s="1" t="s">
        <v>87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1" t="s">
        <v>88</v>
      </c>
      <c r="B26" s="4">
        <v>0.05</v>
      </c>
      <c r="C26" s="1">
        <v>0.0</v>
      </c>
      <c r="D26" s="4">
        <v>1.0</v>
      </c>
      <c r="E26" s="4">
        <v>0.05</v>
      </c>
      <c r="F26" s="4">
        <v>-0.15</v>
      </c>
      <c r="G26" s="4">
        <v>0.05</v>
      </c>
      <c r="H26" s="1" t="s">
        <v>89</v>
      </c>
      <c r="I26" s="1">
        <v>28.0</v>
      </c>
      <c r="J26" s="1" t="s">
        <v>76</v>
      </c>
      <c r="K26" s="1" t="s">
        <v>20</v>
      </c>
      <c r="L26" s="1" t="s">
        <v>21</v>
      </c>
      <c r="M26" s="1" t="s">
        <v>22</v>
      </c>
      <c r="N26" s="1" t="s">
        <v>23</v>
      </c>
      <c r="O26" s="2" t="s">
        <v>90</v>
      </c>
      <c r="P26" s="2" t="s">
        <v>70</v>
      </c>
      <c r="Q26" s="1" t="s">
        <v>91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1" t="s">
        <v>92</v>
      </c>
      <c r="L27" s="1" t="s">
        <v>93</v>
      </c>
      <c r="M27" s="1" t="s">
        <v>94</v>
      </c>
      <c r="N27" s="1" t="s">
        <v>95</v>
      </c>
      <c r="O27" s="1" t="s">
        <v>96</v>
      </c>
      <c r="P27" s="1" t="s">
        <v>97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1" t="s">
        <v>84</v>
      </c>
      <c r="L28" s="1" t="s">
        <v>85</v>
      </c>
      <c r="M28" s="1" t="s">
        <v>86</v>
      </c>
      <c r="N28" s="1" t="s">
        <v>87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1" t="s">
        <v>98</v>
      </c>
      <c r="B30" s="4">
        <v>0.25</v>
      </c>
      <c r="C30" s="5">
        <v>0.1</v>
      </c>
      <c r="D30" s="4">
        <v>0.5</v>
      </c>
      <c r="E30" s="4">
        <v>-0.05</v>
      </c>
      <c r="F30" s="4">
        <v>0.05</v>
      </c>
      <c r="G30" s="4">
        <v>-0.1</v>
      </c>
      <c r="H30" s="1" t="s">
        <v>99</v>
      </c>
      <c r="I30" s="1">
        <v>40.0</v>
      </c>
      <c r="J30" s="1" t="s">
        <v>76</v>
      </c>
      <c r="K30" s="1" t="s">
        <v>20</v>
      </c>
      <c r="L30" s="1" t="s">
        <v>21</v>
      </c>
      <c r="M30" s="1" t="s">
        <v>22</v>
      </c>
      <c r="N30" s="1" t="s">
        <v>23</v>
      </c>
      <c r="O30" s="2" t="s">
        <v>100</v>
      </c>
      <c r="P30" s="2" t="s">
        <v>101</v>
      </c>
      <c r="Q30" s="1" t="s">
        <v>102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1" t="s">
        <v>103</v>
      </c>
      <c r="L31" s="1" t="s">
        <v>34</v>
      </c>
      <c r="M31" s="1" t="s">
        <v>104</v>
      </c>
      <c r="N31" s="1" t="s">
        <v>105</v>
      </c>
      <c r="O31" s="1" t="s">
        <v>57</v>
      </c>
      <c r="P31" s="1" t="s">
        <v>57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1" t="s">
        <v>84</v>
      </c>
      <c r="L32" s="1" t="s">
        <v>85</v>
      </c>
      <c r="M32" s="1" t="s">
        <v>86</v>
      </c>
      <c r="N32" s="1" t="s">
        <v>87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" t="s">
        <v>106</v>
      </c>
      <c r="B34" s="1">
        <v>0.0</v>
      </c>
      <c r="C34" s="4">
        <v>0.1</v>
      </c>
      <c r="D34" s="4">
        <v>0.75</v>
      </c>
      <c r="E34" s="4">
        <v>0.1</v>
      </c>
      <c r="F34" s="1">
        <v>0.0</v>
      </c>
      <c r="G34" s="4">
        <v>0.3</v>
      </c>
      <c r="H34" s="1" t="s">
        <v>107</v>
      </c>
      <c r="I34" s="1">
        <v>45.0</v>
      </c>
      <c r="J34" s="1" t="s">
        <v>76</v>
      </c>
      <c r="K34" s="1" t="s">
        <v>20</v>
      </c>
      <c r="L34" s="1" t="s">
        <v>21</v>
      </c>
      <c r="M34" s="1" t="s">
        <v>22</v>
      </c>
      <c r="N34" s="1" t="s">
        <v>23</v>
      </c>
      <c r="O34" s="6" t="s">
        <v>108</v>
      </c>
      <c r="P34" s="6" t="s">
        <v>109</v>
      </c>
      <c r="Q34" s="1" t="s">
        <v>110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1" t="s">
        <v>111</v>
      </c>
      <c r="L35" s="1" t="s">
        <v>112</v>
      </c>
      <c r="M35" s="1" t="s">
        <v>113</v>
      </c>
      <c r="N35" s="1" t="s">
        <v>114</v>
      </c>
      <c r="O35" s="1" t="s">
        <v>115</v>
      </c>
      <c r="P35" s="1" t="s">
        <v>116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1" t="s">
        <v>84</v>
      </c>
      <c r="L36" s="1" t="s">
        <v>85</v>
      </c>
      <c r="M36" s="1" t="s">
        <v>86</v>
      </c>
      <c r="N36" s="1" t="s">
        <v>87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117</v>
      </c>
    </row>
    <row r="2">
      <c r="A2" s="6" t="s">
        <v>118</v>
      </c>
    </row>
    <row r="3">
      <c r="A3" s="6" t="s">
        <v>119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92.63"/>
    <col customWidth="1" min="3" max="3" width="44.25"/>
    <col customWidth="1" min="4" max="4" width="35.5"/>
    <col customWidth="1" min="5" max="5" width="36.25"/>
  </cols>
  <sheetData>
    <row r="1">
      <c r="A1" s="6" t="s">
        <v>120</v>
      </c>
      <c r="B1" s="6" t="s">
        <v>121</v>
      </c>
      <c r="C1" s="6" t="s">
        <v>122</v>
      </c>
      <c r="D1" s="6" t="s">
        <v>123</v>
      </c>
      <c r="E1" s="6" t="s">
        <v>124</v>
      </c>
    </row>
    <row r="2">
      <c r="A2" s="6" t="s">
        <v>125</v>
      </c>
      <c r="B2" s="6" t="s">
        <v>33</v>
      </c>
      <c r="C2" s="6" t="s">
        <v>34</v>
      </c>
      <c r="D2" s="6" t="s">
        <v>35</v>
      </c>
      <c r="E2" s="6" t="s">
        <v>36</v>
      </c>
    </row>
    <row r="4">
      <c r="A4" s="6" t="s">
        <v>76</v>
      </c>
      <c r="B4" s="6" t="s">
        <v>85</v>
      </c>
      <c r="C4" s="6" t="s">
        <v>126</v>
      </c>
      <c r="D4" s="6" t="s">
        <v>86</v>
      </c>
      <c r="E4" s="6" t="s">
        <v>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8.38"/>
    <col customWidth="1" min="3" max="3" width="10.0"/>
    <col customWidth="1" min="4" max="4" width="10.88"/>
    <col customWidth="1" min="5" max="5" width="7.25"/>
    <col customWidth="1" min="6" max="6" width="11.88"/>
    <col customWidth="1" min="7" max="7" width="12.13"/>
    <col customWidth="1" min="8" max="8" width="5.25"/>
    <col customWidth="1" min="9" max="9" width="15.0"/>
    <col customWidth="1" min="10" max="10" width="9.38"/>
    <col customWidth="1" min="11" max="11" width="5.63"/>
    <col customWidth="1" min="12" max="12" width="10.63"/>
    <col customWidth="1" min="13" max="13" width="12.25"/>
    <col customWidth="1" min="14" max="14" width="18.75"/>
    <col customWidth="1" min="15" max="15" width="4.0"/>
    <col customWidth="1" min="16" max="16" width="9.25"/>
    <col customWidth="1" min="17" max="17" width="8.63"/>
    <col customWidth="1" min="18" max="18" width="9.75"/>
  </cols>
  <sheetData>
    <row r="1">
      <c r="A1" s="6" t="s">
        <v>127</v>
      </c>
      <c r="B1" s="6" t="s">
        <v>128</v>
      </c>
      <c r="C1" s="6" t="s">
        <v>129</v>
      </c>
      <c r="D1" s="6" t="s">
        <v>130</v>
      </c>
      <c r="E1" s="6" t="s">
        <v>131</v>
      </c>
      <c r="F1" s="6" t="s">
        <v>132</v>
      </c>
      <c r="G1" s="6" t="s">
        <v>133</v>
      </c>
      <c r="H1" s="6" t="s">
        <v>134</v>
      </c>
      <c r="I1" s="6" t="s">
        <v>135</v>
      </c>
      <c r="J1" s="6" t="s">
        <v>136</v>
      </c>
      <c r="K1" s="6" t="s">
        <v>137</v>
      </c>
      <c r="L1" s="6" t="s">
        <v>138</v>
      </c>
      <c r="M1" s="6" t="s">
        <v>139</v>
      </c>
      <c r="N1" s="6" t="s">
        <v>140</v>
      </c>
      <c r="O1" s="6" t="s">
        <v>141</v>
      </c>
      <c r="P1" s="6" t="s">
        <v>142</v>
      </c>
      <c r="Q1" s="6" t="s">
        <v>143</v>
      </c>
      <c r="R1" s="6" t="s">
        <v>144</v>
      </c>
      <c r="S1" s="6" t="s">
        <v>145</v>
      </c>
    </row>
    <row r="2">
      <c r="A2" s="6" t="s">
        <v>146</v>
      </c>
      <c r="B2" s="6" t="s">
        <v>147</v>
      </c>
      <c r="C2" s="6" t="s">
        <v>148</v>
      </c>
      <c r="D2" s="6" t="s">
        <v>149</v>
      </c>
      <c r="E2" s="6">
        <v>35.0</v>
      </c>
      <c r="F2" s="8">
        <v>0.05</v>
      </c>
      <c r="G2" s="8">
        <v>0.5</v>
      </c>
      <c r="H2" s="6">
        <v>1.0</v>
      </c>
      <c r="I2" s="6">
        <v>1.0</v>
      </c>
      <c r="J2" s="6">
        <v>0.0</v>
      </c>
      <c r="K2" s="6" t="s">
        <v>150</v>
      </c>
      <c r="L2" s="6" t="s">
        <v>150</v>
      </c>
      <c r="M2" s="6" t="s">
        <v>150</v>
      </c>
      <c r="N2" s="6" t="s">
        <v>150</v>
      </c>
      <c r="O2" s="6" t="s">
        <v>150</v>
      </c>
      <c r="P2" s="6" t="s">
        <v>151</v>
      </c>
      <c r="R2" s="9">
        <f t="shared" ref="R2:R14" si="1">E2*(1+F2*G2)*I2</f>
        <v>35.875</v>
      </c>
      <c r="S2" s="9" t="str">
        <f t="shared" ref="S2:S14" si="2">E2*(1+F2*G2)*K2/(K2/I2+L2)</f>
        <v>#VALUE!</v>
      </c>
    </row>
    <row r="3">
      <c r="A3" s="6" t="s">
        <v>152</v>
      </c>
      <c r="B3" s="6" t="s">
        <v>153</v>
      </c>
      <c r="C3" s="6" t="s">
        <v>154</v>
      </c>
      <c r="D3" s="6" t="s">
        <v>149</v>
      </c>
      <c r="E3" s="6">
        <v>15.0</v>
      </c>
      <c r="F3" s="8">
        <v>0.05</v>
      </c>
      <c r="G3" s="8">
        <v>0.5</v>
      </c>
      <c r="H3" s="6">
        <v>3.0</v>
      </c>
      <c r="I3" s="6">
        <v>0.85</v>
      </c>
      <c r="J3" s="6">
        <v>0.0</v>
      </c>
      <c r="K3" s="6">
        <v>6.0</v>
      </c>
      <c r="L3" s="6">
        <v>2.0</v>
      </c>
      <c r="M3" s="6" t="s">
        <v>150</v>
      </c>
      <c r="N3" s="6" t="s">
        <v>150</v>
      </c>
      <c r="O3" s="6" t="s">
        <v>150</v>
      </c>
      <c r="P3" s="6" t="s">
        <v>151</v>
      </c>
      <c r="R3" s="9">
        <f t="shared" si="1"/>
        <v>13.06875</v>
      </c>
      <c r="S3" s="9">
        <f t="shared" si="2"/>
        <v>10.18344156</v>
      </c>
    </row>
    <row r="4">
      <c r="A4" s="6" t="s">
        <v>155</v>
      </c>
      <c r="B4" s="6" t="s">
        <v>156</v>
      </c>
      <c r="C4" s="6" t="s">
        <v>148</v>
      </c>
      <c r="D4" s="6" t="s">
        <v>149</v>
      </c>
      <c r="E4" s="6">
        <v>15.0</v>
      </c>
      <c r="F4" s="8">
        <v>0.1</v>
      </c>
      <c r="G4" s="8">
        <v>0.8</v>
      </c>
      <c r="H4" s="6">
        <v>1.0</v>
      </c>
      <c r="I4" s="6">
        <v>1.1</v>
      </c>
      <c r="J4" s="6">
        <v>0.0</v>
      </c>
      <c r="K4" s="6" t="s">
        <v>150</v>
      </c>
      <c r="L4" s="6" t="s">
        <v>150</v>
      </c>
      <c r="M4" s="6" t="s">
        <v>150</v>
      </c>
      <c r="N4" s="6" t="s">
        <v>150</v>
      </c>
      <c r="O4" s="6" t="s">
        <v>150</v>
      </c>
      <c r="P4" s="6" t="s">
        <v>151</v>
      </c>
      <c r="R4" s="9">
        <f t="shared" si="1"/>
        <v>17.82</v>
      </c>
      <c r="S4" s="9" t="str">
        <f t="shared" si="2"/>
        <v>#VALUE!</v>
      </c>
    </row>
    <row r="5">
      <c r="A5" s="7" t="s">
        <v>157</v>
      </c>
      <c r="B5" s="6" t="s">
        <v>147</v>
      </c>
      <c r="C5" s="6" t="s">
        <v>154</v>
      </c>
      <c r="D5" s="6" t="s">
        <v>149</v>
      </c>
      <c r="E5" s="6">
        <v>40.0</v>
      </c>
      <c r="F5" s="8">
        <v>0.05</v>
      </c>
      <c r="G5" s="8">
        <v>0.5</v>
      </c>
      <c r="H5" s="6">
        <v>3.0</v>
      </c>
      <c r="I5" s="6">
        <v>0.7</v>
      </c>
      <c r="J5" s="6">
        <v>0.0</v>
      </c>
      <c r="K5" s="6">
        <v>6.0</v>
      </c>
      <c r="L5" s="6">
        <v>4.0</v>
      </c>
      <c r="M5" s="6" t="s">
        <v>150</v>
      </c>
      <c r="N5" s="6" t="s">
        <v>150</v>
      </c>
      <c r="O5" s="6" t="s">
        <v>150</v>
      </c>
      <c r="P5" s="6" t="s">
        <v>151</v>
      </c>
      <c r="R5" s="9">
        <f t="shared" si="1"/>
        <v>28.7</v>
      </c>
      <c r="S5" s="9">
        <f t="shared" si="2"/>
        <v>19.56818182</v>
      </c>
    </row>
    <row r="6">
      <c r="A6" s="6" t="s">
        <v>158</v>
      </c>
      <c r="B6" s="6" t="s">
        <v>156</v>
      </c>
      <c r="C6" s="6" t="s">
        <v>154</v>
      </c>
      <c r="D6" s="6" t="s">
        <v>159</v>
      </c>
      <c r="E6" s="6">
        <v>25.0</v>
      </c>
      <c r="F6" s="8">
        <v>0.05</v>
      </c>
      <c r="G6" s="8">
        <v>0.5</v>
      </c>
      <c r="H6" s="6">
        <v>3.0</v>
      </c>
      <c r="I6" s="6">
        <v>0.8</v>
      </c>
      <c r="J6" s="8">
        <v>0.25</v>
      </c>
      <c r="K6" s="6">
        <v>10.0</v>
      </c>
      <c r="L6" s="6">
        <v>2.0</v>
      </c>
      <c r="M6" s="6" t="s">
        <v>150</v>
      </c>
      <c r="N6" s="6" t="s">
        <v>150</v>
      </c>
      <c r="O6" s="6">
        <v>30.0</v>
      </c>
      <c r="P6" s="6" t="s">
        <v>160</v>
      </c>
      <c r="R6" s="9">
        <f t="shared" si="1"/>
        <v>20.5</v>
      </c>
      <c r="S6" s="9">
        <f t="shared" si="2"/>
        <v>17.67241379</v>
      </c>
    </row>
    <row r="7">
      <c r="A7" s="6" t="s">
        <v>161</v>
      </c>
      <c r="B7" s="6" t="s">
        <v>156</v>
      </c>
      <c r="C7" s="6" t="s">
        <v>162</v>
      </c>
      <c r="D7" s="6" t="s">
        <v>163</v>
      </c>
      <c r="E7" s="6">
        <v>30.0</v>
      </c>
      <c r="F7" s="8">
        <v>0.1</v>
      </c>
      <c r="G7" s="8">
        <v>0.5</v>
      </c>
      <c r="H7" s="6">
        <v>2.0</v>
      </c>
      <c r="I7" s="6">
        <v>1.0</v>
      </c>
      <c r="J7" s="8">
        <v>0.2</v>
      </c>
      <c r="K7" s="6">
        <v>1.0</v>
      </c>
      <c r="L7" s="6">
        <v>3.0</v>
      </c>
      <c r="N7" s="6" t="s">
        <v>164</v>
      </c>
      <c r="O7" s="6">
        <v>35.0</v>
      </c>
      <c r="P7" s="6" t="s">
        <v>160</v>
      </c>
      <c r="R7" s="9">
        <f t="shared" si="1"/>
        <v>31.5</v>
      </c>
      <c r="S7" s="9">
        <f t="shared" si="2"/>
        <v>7.875</v>
      </c>
    </row>
    <row r="8">
      <c r="A8" s="6" t="s">
        <v>165</v>
      </c>
      <c r="B8" s="6" t="s">
        <v>156</v>
      </c>
      <c r="C8" s="6" t="s">
        <v>154</v>
      </c>
      <c r="D8" s="6" t="s">
        <v>149</v>
      </c>
      <c r="E8" s="6">
        <v>20.0</v>
      </c>
      <c r="F8" s="8">
        <v>0.05</v>
      </c>
      <c r="G8" s="8">
        <v>0.5</v>
      </c>
      <c r="H8" s="6">
        <v>3.0</v>
      </c>
      <c r="I8" s="6">
        <v>2.0</v>
      </c>
      <c r="J8" s="8">
        <v>0.15</v>
      </c>
      <c r="K8" s="6">
        <v>24.0</v>
      </c>
      <c r="L8" s="6">
        <v>4.0</v>
      </c>
      <c r="M8" s="6" t="s">
        <v>150</v>
      </c>
      <c r="N8" s="6" t="s">
        <v>150</v>
      </c>
      <c r="O8" s="6">
        <v>45.0</v>
      </c>
      <c r="P8" s="6" t="s">
        <v>166</v>
      </c>
      <c r="R8" s="9">
        <f t="shared" si="1"/>
        <v>41</v>
      </c>
      <c r="S8" s="9">
        <f t="shared" si="2"/>
        <v>30.75</v>
      </c>
    </row>
    <row r="9">
      <c r="A9" s="6" t="s">
        <v>167</v>
      </c>
      <c r="B9" s="6" t="s">
        <v>168</v>
      </c>
      <c r="C9" s="6" t="s">
        <v>154</v>
      </c>
      <c r="D9" s="6" t="s">
        <v>159</v>
      </c>
      <c r="E9" s="6">
        <v>50.0</v>
      </c>
      <c r="F9" s="8">
        <v>0.07</v>
      </c>
      <c r="G9" s="8">
        <v>0.65</v>
      </c>
      <c r="H9" s="6">
        <v>3.0</v>
      </c>
      <c r="I9" s="6">
        <v>0.7</v>
      </c>
      <c r="J9" s="8">
        <v>0.3</v>
      </c>
      <c r="K9" s="6">
        <v>12.0</v>
      </c>
      <c r="L9" s="6">
        <v>4.0</v>
      </c>
      <c r="M9" s="6" t="s">
        <v>150</v>
      </c>
      <c r="N9" s="6" t="s">
        <v>150</v>
      </c>
      <c r="O9" s="6">
        <v>75.0</v>
      </c>
      <c r="P9" s="6" t="s">
        <v>166</v>
      </c>
      <c r="R9" s="9">
        <f t="shared" si="1"/>
        <v>36.5925</v>
      </c>
      <c r="S9" s="9">
        <f t="shared" si="2"/>
        <v>29.66959459</v>
      </c>
    </row>
    <row r="10">
      <c r="A10" s="6" t="s">
        <v>169</v>
      </c>
      <c r="B10" s="6" t="s">
        <v>147</v>
      </c>
      <c r="C10" s="6" t="s">
        <v>170</v>
      </c>
      <c r="D10" s="6" t="s">
        <v>149</v>
      </c>
      <c r="E10" s="6">
        <v>80.0</v>
      </c>
      <c r="F10" s="8">
        <v>0.05</v>
      </c>
      <c r="G10" s="8">
        <v>0.5</v>
      </c>
      <c r="H10" s="6">
        <v>3.0</v>
      </c>
      <c r="I10" s="6">
        <v>0.8</v>
      </c>
      <c r="J10" s="8">
        <v>0.15</v>
      </c>
      <c r="K10" s="6">
        <v>1.0</v>
      </c>
      <c r="L10" s="6">
        <v>5.0</v>
      </c>
      <c r="M10" s="6" t="s">
        <v>150</v>
      </c>
      <c r="N10" s="6" t="s">
        <v>164</v>
      </c>
      <c r="O10" s="6">
        <v>80.0</v>
      </c>
      <c r="P10" s="6" t="s">
        <v>166</v>
      </c>
      <c r="R10" s="9">
        <f t="shared" si="1"/>
        <v>65.6</v>
      </c>
      <c r="S10" s="9">
        <f t="shared" si="2"/>
        <v>13.12</v>
      </c>
    </row>
    <row r="11">
      <c r="A11" s="6" t="s">
        <v>171</v>
      </c>
      <c r="B11" s="6" t="s">
        <v>156</v>
      </c>
      <c r="C11" s="6" t="s">
        <v>172</v>
      </c>
      <c r="D11" s="6" t="s">
        <v>159</v>
      </c>
      <c r="E11" s="6">
        <v>30.0</v>
      </c>
      <c r="F11" s="8">
        <v>0.1</v>
      </c>
      <c r="G11" s="8">
        <v>1.25</v>
      </c>
      <c r="H11" s="6">
        <v>1.0</v>
      </c>
      <c r="I11" s="6">
        <v>1.5</v>
      </c>
      <c r="J11" s="8">
        <v>0.2</v>
      </c>
      <c r="K11" s="6" t="s">
        <v>150</v>
      </c>
      <c r="L11" s="6" t="s">
        <v>150</v>
      </c>
      <c r="M11" s="6" t="s">
        <v>150</v>
      </c>
      <c r="N11" s="6" t="s">
        <v>150</v>
      </c>
      <c r="O11" s="6">
        <v>50.0</v>
      </c>
      <c r="P11" s="6" t="s">
        <v>173</v>
      </c>
      <c r="R11" s="9">
        <f t="shared" si="1"/>
        <v>50.625</v>
      </c>
      <c r="S11" s="9" t="str">
        <f t="shared" si="2"/>
        <v>#VALUE!</v>
      </c>
    </row>
    <row r="12">
      <c r="A12" s="6" t="s">
        <v>174</v>
      </c>
      <c r="B12" s="6" t="s">
        <v>147</v>
      </c>
      <c r="C12" s="6" t="s">
        <v>154</v>
      </c>
      <c r="D12" s="6" t="s">
        <v>159</v>
      </c>
      <c r="E12" s="6">
        <v>90.0</v>
      </c>
      <c r="F12" s="8">
        <v>0.1</v>
      </c>
      <c r="G12" s="8">
        <v>1.0</v>
      </c>
      <c r="H12" s="6">
        <v>4.0</v>
      </c>
      <c r="I12" s="6">
        <v>0.5</v>
      </c>
      <c r="J12" s="8">
        <v>0.3</v>
      </c>
      <c r="K12" s="6">
        <v>4.0</v>
      </c>
      <c r="L12" s="6">
        <v>2.0</v>
      </c>
      <c r="M12" s="6" t="s">
        <v>150</v>
      </c>
      <c r="N12" s="6" t="s">
        <v>150</v>
      </c>
      <c r="O12" s="6">
        <v>80.0</v>
      </c>
      <c r="P12" s="6" t="s">
        <v>173</v>
      </c>
      <c r="R12" s="9">
        <f t="shared" si="1"/>
        <v>49.5</v>
      </c>
      <c r="S12" s="9">
        <f t="shared" si="2"/>
        <v>39.6</v>
      </c>
    </row>
    <row r="13">
      <c r="A13" s="6" t="s">
        <v>175</v>
      </c>
      <c r="B13" s="6" t="s">
        <v>147</v>
      </c>
      <c r="C13" s="6" t="s">
        <v>170</v>
      </c>
      <c r="D13" s="6" t="s">
        <v>149</v>
      </c>
      <c r="E13" s="6">
        <v>30.0</v>
      </c>
      <c r="F13" s="8">
        <v>0.05</v>
      </c>
      <c r="G13" s="8">
        <v>0.75</v>
      </c>
      <c r="H13" s="6">
        <v>3.0</v>
      </c>
      <c r="I13" s="6">
        <v>3.0</v>
      </c>
      <c r="J13" s="8">
        <v>0.4</v>
      </c>
      <c r="K13" s="6">
        <v>100.0</v>
      </c>
      <c r="L13" s="6">
        <v>10.0</v>
      </c>
      <c r="M13" s="6" t="s">
        <v>150</v>
      </c>
      <c r="N13" s="6" t="s">
        <v>150</v>
      </c>
      <c r="O13" s="6">
        <v>110.0</v>
      </c>
      <c r="P13" s="6" t="s">
        <v>176</v>
      </c>
      <c r="R13" s="9">
        <f t="shared" si="1"/>
        <v>93.375</v>
      </c>
      <c r="S13" s="9">
        <f t="shared" si="2"/>
        <v>71.82692308</v>
      </c>
    </row>
    <row r="14">
      <c r="A14" s="6" t="s">
        <v>177</v>
      </c>
      <c r="B14" s="6" t="s">
        <v>168</v>
      </c>
      <c r="C14" s="6" t="s">
        <v>178</v>
      </c>
      <c r="D14" s="6" t="s">
        <v>179</v>
      </c>
      <c r="E14" s="6">
        <v>100.0</v>
      </c>
      <c r="F14" s="8">
        <v>0.1</v>
      </c>
      <c r="G14" s="8">
        <v>1.0</v>
      </c>
      <c r="H14" s="6">
        <v>1.0</v>
      </c>
      <c r="I14" s="6">
        <v>0.8</v>
      </c>
      <c r="J14" s="8">
        <v>0.4</v>
      </c>
      <c r="K14" s="6" t="s">
        <v>150</v>
      </c>
      <c r="L14" s="6" t="s">
        <v>150</v>
      </c>
      <c r="M14" s="6" t="s">
        <v>150</v>
      </c>
      <c r="N14" s="6" t="s">
        <v>150</v>
      </c>
      <c r="O14" s="6">
        <v>120.0</v>
      </c>
      <c r="P14" s="6" t="s">
        <v>176</v>
      </c>
      <c r="R14" s="9">
        <f t="shared" si="1"/>
        <v>88</v>
      </c>
      <c r="S14" s="9" t="str">
        <f t="shared" si="2"/>
        <v>#VALUE!</v>
      </c>
    </row>
    <row r="16">
      <c r="A16" s="6" t="s">
        <v>180</v>
      </c>
      <c r="B16" s="6" t="s">
        <v>147</v>
      </c>
      <c r="C16" s="6" t="s">
        <v>154</v>
      </c>
      <c r="D16" s="6" t="s">
        <v>181</v>
      </c>
      <c r="E16" s="6">
        <v>65.0</v>
      </c>
      <c r="F16" s="8">
        <v>0.1</v>
      </c>
      <c r="G16" s="8">
        <v>0.75</v>
      </c>
      <c r="H16" s="6">
        <v>3.0</v>
      </c>
      <c r="I16" s="6">
        <v>1.5</v>
      </c>
      <c r="J16" s="8">
        <v>0.25</v>
      </c>
      <c r="K16" s="6">
        <v>26.0</v>
      </c>
      <c r="L16" s="6">
        <v>3.0</v>
      </c>
      <c r="M16" s="6" t="s">
        <v>150</v>
      </c>
      <c r="N16" s="6" t="s">
        <v>150</v>
      </c>
      <c r="O16" s="6">
        <v>180.0</v>
      </c>
      <c r="P16" s="6" t="s">
        <v>182</v>
      </c>
      <c r="R16" s="9">
        <f>E16*(1+F16*G16)*I16</f>
        <v>104.8125</v>
      </c>
      <c r="S16" s="9">
        <f>E16*(1+F16*G16)*K16/(K16/I16+L16)</f>
        <v>89.34836066</v>
      </c>
    </row>
    <row r="18">
      <c r="A18" s="6" t="s">
        <v>183</v>
      </c>
      <c r="B18" s="6" t="s">
        <v>147</v>
      </c>
      <c r="C18" s="6" t="s">
        <v>154</v>
      </c>
      <c r="D18" s="6" t="s">
        <v>149</v>
      </c>
      <c r="E18" s="6">
        <v>300.0</v>
      </c>
      <c r="F18" s="8">
        <v>0.1</v>
      </c>
      <c r="G18" s="8">
        <v>0.75</v>
      </c>
      <c r="H18" s="6">
        <v>5.0</v>
      </c>
      <c r="I18" s="6">
        <v>0.25</v>
      </c>
      <c r="J18" s="8">
        <v>0.65</v>
      </c>
      <c r="K18" s="6">
        <v>4.0</v>
      </c>
      <c r="L18" s="6">
        <v>2.0</v>
      </c>
      <c r="M18" s="6" t="s">
        <v>184</v>
      </c>
      <c r="O18" s="6">
        <v>300.0</v>
      </c>
      <c r="P18" s="6" t="s">
        <v>185</v>
      </c>
      <c r="R18" s="9">
        <f>E18*(1+F18*G18)*I18</f>
        <v>80.625</v>
      </c>
      <c r="S18" s="9">
        <f>E18*(1+F18*G18)*K18/(K18/I18+L18)</f>
        <v>71.66666667</v>
      </c>
    </row>
    <row r="21">
      <c r="A21" s="6" t="s">
        <v>186</v>
      </c>
    </row>
    <row r="22">
      <c r="A22" s="6" t="s">
        <v>187</v>
      </c>
      <c r="B22" s="6" t="s">
        <v>153</v>
      </c>
      <c r="C22" s="6" t="s">
        <v>154</v>
      </c>
      <c r="D22" s="6" t="s">
        <v>149</v>
      </c>
      <c r="E22" s="6">
        <v>5.0</v>
      </c>
      <c r="F22" s="8">
        <v>0.05</v>
      </c>
      <c r="G22" s="8">
        <v>0.5</v>
      </c>
      <c r="H22" s="6">
        <v>3.0</v>
      </c>
      <c r="I22" s="6">
        <v>1.1</v>
      </c>
      <c r="J22" s="8">
        <v>0.2</v>
      </c>
      <c r="K22" s="6">
        <v>5.0</v>
      </c>
      <c r="L22" s="6">
        <v>1.2</v>
      </c>
      <c r="M22" s="6" t="s">
        <v>188</v>
      </c>
      <c r="N22" s="6" t="s">
        <v>150</v>
      </c>
      <c r="O22" s="6">
        <v>35.0</v>
      </c>
      <c r="P22" s="6" t="s">
        <v>160</v>
      </c>
      <c r="Q22" s="6" t="s">
        <v>125</v>
      </c>
      <c r="R22" s="9">
        <f t="shared" ref="R22:R45" si="3">E22*(1+F22*G22)*I22</f>
        <v>5.6375</v>
      </c>
      <c r="S22" s="9">
        <f t="shared" ref="S22:S45" si="4">E22*(1+F22*G22)*K22/(K22/I22+L22)</f>
        <v>4.460047468</v>
      </c>
    </row>
    <row r="23">
      <c r="R23" s="9">
        <f t="shared" si="3"/>
        <v>0</v>
      </c>
      <c r="S23" s="9" t="str">
        <f t="shared" si="4"/>
        <v>#DIV/0!</v>
      </c>
    </row>
    <row r="24">
      <c r="A24" s="6" t="s">
        <v>189</v>
      </c>
      <c r="B24" s="6" t="s">
        <v>168</v>
      </c>
      <c r="C24" s="6" t="s">
        <v>162</v>
      </c>
      <c r="D24" s="6" t="s">
        <v>179</v>
      </c>
      <c r="E24" s="6">
        <v>60.0</v>
      </c>
      <c r="F24" s="8">
        <v>0.05</v>
      </c>
      <c r="G24" s="8">
        <v>0.5</v>
      </c>
      <c r="H24" s="6">
        <v>2.0</v>
      </c>
      <c r="I24" s="6">
        <v>1.0</v>
      </c>
      <c r="J24" s="8">
        <v>0.1</v>
      </c>
      <c r="K24" s="6">
        <v>1.0</v>
      </c>
      <c r="L24" s="6">
        <v>2.0</v>
      </c>
      <c r="M24" s="6" t="s">
        <v>150</v>
      </c>
      <c r="N24" s="6" t="s">
        <v>150</v>
      </c>
      <c r="O24" s="6">
        <v>75.0</v>
      </c>
      <c r="P24" s="6" t="s">
        <v>166</v>
      </c>
      <c r="Q24" s="6" t="s">
        <v>125</v>
      </c>
      <c r="R24" s="9">
        <f t="shared" si="3"/>
        <v>61.5</v>
      </c>
      <c r="S24" s="9">
        <f t="shared" si="4"/>
        <v>20.5</v>
      </c>
    </row>
    <row r="25">
      <c r="R25" s="9">
        <f t="shared" si="3"/>
        <v>0</v>
      </c>
      <c r="S25" s="9" t="str">
        <f t="shared" si="4"/>
        <v>#DIV/0!</v>
      </c>
    </row>
    <row r="26">
      <c r="A26" s="6" t="s">
        <v>190</v>
      </c>
      <c r="B26" s="6" t="s">
        <v>153</v>
      </c>
      <c r="C26" s="6" t="s">
        <v>148</v>
      </c>
      <c r="D26" s="6" t="s">
        <v>181</v>
      </c>
      <c r="E26" s="6">
        <v>40.0</v>
      </c>
      <c r="F26" s="8">
        <v>0.1</v>
      </c>
      <c r="G26" s="8">
        <v>0.75</v>
      </c>
      <c r="H26" s="6">
        <v>1.0</v>
      </c>
      <c r="I26" s="6">
        <v>1.3</v>
      </c>
      <c r="J26" s="8">
        <v>0.25</v>
      </c>
      <c r="K26" s="6" t="s">
        <v>150</v>
      </c>
      <c r="L26" s="6" t="s">
        <v>150</v>
      </c>
      <c r="M26" s="6" t="s">
        <v>150</v>
      </c>
      <c r="N26" s="6" t="s">
        <v>191</v>
      </c>
      <c r="O26" s="6">
        <v>60.0</v>
      </c>
      <c r="P26" s="6" t="s">
        <v>176</v>
      </c>
      <c r="Q26" s="6" t="s">
        <v>125</v>
      </c>
      <c r="R26" s="9">
        <f t="shared" si="3"/>
        <v>55.9</v>
      </c>
      <c r="S26" s="9" t="str">
        <f t="shared" si="4"/>
        <v>#VALUE!</v>
      </c>
    </row>
    <row r="27">
      <c r="A27" s="6" t="s">
        <v>192</v>
      </c>
      <c r="B27" s="6" t="s">
        <v>153</v>
      </c>
      <c r="C27" s="6" t="s">
        <v>172</v>
      </c>
      <c r="D27" s="6" t="s">
        <v>163</v>
      </c>
      <c r="E27" s="6">
        <v>50.0</v>
      </c>
      <c r="F27" s="8">
        <v>0.15</v>
      </c>
      <c r="G27" s="8">
        <v>0.75</v>
      </c>
      <c r="H27" s="6">
        <v>1.0</v>
      </c>
      <c r="I27" s="6">
        <v>1.0</v>
      </c>
      <c r="J27" s="8">
        <v>0.1</v>
      </c>
      <c r="K27" s="6" t="s">
        <v>150</v>
      </c>
      <c r="L27" s="6" t="s">
        <v>150</v>
      </c>
      <c r="M27" s="6" t="s">
        <v>188</v>
      </c>
      <c r="N27" s="6" t="s">
        <v>150</v>
      </c>
      <c r="O27" s="6">
        <v>70.0</v>
      </c>
      <c r="P27" s="6" t="s">
        <v>193</v>
      </c>
      <c r="Q27" s="6" t="s">
        <v>125</v>
      </c>
      <c r="R27" s="9">
        <f t="shared" si="3"/>
        <v>55.625</v>
      </c>
      <c r="S27" s="9" t="str">
        <f t="shared" si="4"/>
        <v>#VALUE!</v>
      </c>
    </row>
    <row r="28">
      <c r="A28" s="6" t="s">
        <v>194</v>
      </c>
      <c r="B28" s="6" t="s">
        <v>147</v>
      </c>
      <c r="C28" s="6" t="s">
        <v>170</v>
      </c>
      <c r="D28" s="6" t="s">
        <v>179</v>
      </c>
      <c r="E28" s="6">
        <v>100.0</v>
      </c>
      <c r="F28" s="8">
        <v>0.1</v>
      </c>
      <c r="G28" s="8">
        <v>1.0</v>
      </c>
      <c r="H28" s="6">
        <v>3.0</v>
      </c>
      <c r="I28" s="6">
        <v>1.2</v>
      </c>
      <c r="J28" s="8">
        <v>0.35</v>
      </c>
      <c r="K28" s="6">
        <v>10.0</v>
      </c>
      <c r="L28" s="6">
        <v>3.0</v>
      </c>
      <c r="M28" s="6" t="s">
        <v>150</v>
      </c>
      <c r="N28" s="6" t="s">
        <v>195</v>
      </c>
      <c r="O28" s="6">
        <v>250.0</v>
      </c>
      <c r="P28" s="6" t="s">
        <v>185</v>
      </c>
      <c r="Q28" s="6" t="s">
        <v>125</v>
      </c>
      <c r="R28" s="9">
        <f t="shared" si="3"/>
        <v>132</v>
      </c>
      <c r="S28" s="9">
        <f t="shared" si="4"/>
        <v>97.05882353</v>
      </c>
    </row>
    <row r="29">
      <c r="R29" s="9">
        <f t="shared" si="3"/>
        <v>0</v>
      </c>
      <c r="S29" s="9" t="str">
        <f t="shared" si="4"/>
        <v>#DIV/0!</v>
      </c>
    </row>
    <row r="30">
      <c r="R30" s="9">
        <f t="shared" si="3"/>
        <v>0</v>
      </c>
      <c r="S30" s="9" t="str">
        <f t="shared" si="4"/>
        <v>#DIV/0!</v>
      </c>
    </row>
    <row r="31">
      <c r="R31" s="9">
        <f t="shared" si="3"/>
        <v>0</v>
      </c>
      <c r="S31" s="9" t="str">
        <f t="shared" si="4"/>
        <v>#DIV/0!</v>
      </c>
    </row>
    <row r="32">
      <c r="R32" s="9">
        <f t="shared" si="3"/>
        <v>0</v>
      </c>
      <c r="S32" s="9" t="str">
        <f t="shared" si="4"/>
        <v>#DIV/0!</v>
      </c>
    </row>
    <row r="33">
      <c r="R33" s="9">
        <f t="shared" si="3"/>
        <v>0</v>
      </c>
      <c r="S33" s="9" t="str">
        <f t="shared" si="4"/>
        <v>#DIV/0!</v>
      </c>
    </row>
    <row r="34">
      <c r="R34" s="9">
        <f t="shared" si="3"/>
        <v>0</v>
      </c>
      <c r="S34" s="9" t="str">
        <f t="shared" si="4"/>
        <v>#DIV/0!</v>
      </c>
    </row>
    <row r="35">
      <c r="R35" s="9">
        <f t="shared" si="3"/>
        <v>0</v>
      </c>
      <c r="S35" s="9" t="str">
        <f t="shared" si="4"/>
        <v>#DIV/0!</v>
      </c>
    </row>
    <row r="36">
      <c r="R36" s="9">
        <f t="shared" si="3"/>
        <v>0</v>
      </c>
      <c r="S36" s="9" t="str">
        <f t="shared" si="4"/>
        <v>#DIV/0!</v>
      </c>
    </row>
    <row r="37">
      <c r="A37" s="6" t="s">
        <v>196</v>
      </c>
      <c r="R37" s="9">
        <f t="shared" si="3"/>
        <v>0</v>
      </c>
      <c r="S37" s="9" t="str">
        <f t="shared" si="4"/>
        <v>#DIV/0!</v>
      </c>
    </row>
    <row r="38">
      <c r="A38" s="6" t="s">
        <v>197</v>
      </c>
      <c r="B38" s="6" t="s">
        <v>147</v>
      </c>
      <c r="C38" s="6" t="s">
        <v>154</v>
      </c>
      <c r="D38" s="6" t="s">
        <v>149</v>
      </c>
      <c r="E38" s="6">
        <v>120.0</v>
      </c>
      <c r="F38" s="8">
        <v>0.05</v>
      </c>
      <c r="G38" s="8">
        <v>0.75</v>
      </c>
      <c r="H38" s="6">
        <v>3.0</v>
      </c>
      <c r="I38" s="6">
        <v>1.0</v>
      </c>
      <c r="J38" s="8">
        <v>0.2</v>
      </c>
      <c r="K38" s="6">
        <v>1.0</v>
      </c>
      <c r="L38" s="6">
        <v>5.0</v>
      </c>
      <c r="M38" s="6" t="s">
        <v>150</v>
      </c>
      <c r="N38" s="6" t="s">
        <v>150</v>
      </c>
      <c r="O38" s="6">
        <v>35.0</v>
      </c>
      <c r="P38" s="6" t="s">
        <v>160</v>
      </c>
      <c r="Q38" s="6" t="s">
        <v>196</v>
      </c>
      <c r="R38" s="9">
        <f t="shared" si="3"/>
        <v>124.5</v>
      </c>
      <c r="S38" s="9">
        <f t="shared" si="4"/>
        <v>20.75</v>
      </c>
    </row>
    <row r="39">
      <c r="R39" s="9">
        <f t="shared" si="3"/>
        <v>0</v>
      </c>
      <c r="S39" s="9" t="str">
        <f t="shared" si="4"/>
        <v>#DIV/0!</v>
      </c>
    </row>
    <row r="40">
      <c r="R40" s="9">
        <f t="shared" si="3"/>
        <v>0</v>
      </c>
      <c r="S40" s="9" t="str">
        <f t="shared" si="4"/>
        <v>#DIV/0!</v>
      </c>
    </row>
    <row r="41">
      <c r="A41" s="6" t="s">
        <v>198</v>
      </c>
      <c r="B41" s="6" t="s">
        <v>147</v>
      </c>
      <c r="C41" s="6" t="s">
        <v>148</v>
      </c>
      <c r="D41" s="6" t="s">
        <v>163</v>
      </c>
      <c r="E41" s="6">
        <v>80.0</v>
      </c>
      <c r="F41" s="8">
        <v>0.05</v>
      </c>
      <c r="G41" s="8">
        <v>0.75</v>
      </c>
      <c r="H41" s="6">
        <v>2.0</v>
      </c>
      <c r="I41" s="6">
        <v>0.8</v>
      </c>
      <c r="J41" s="8">
        <v>0.15</v>
      </c>
      <c r="K41" s="6" t="s">
        <v>150</v>
      </c>
      <c r="L41" s="6" t="s">
        <v>150</v>
      </c>
      <c r="M41" s="6" t="s">
        <v>150</v>
      </c>
      <c r="N41" s="6" t="s">
        <v>199</v>
      </c>
      <c r="O41" s="6">
        <v>70.0</v>
      </c>
      <c r="P41" s="6" t="s">
        <v>166</v>
      </c>
      <c r="Q41" s="6" t="s">
        <v>196</v>
      </c>
      <c r="R41" s="9">
        <f t="shared" si="3"/>
        <v>66.4</v>
      </c>
      <c r="S41" s="9" t="str">
        <f t="shared" si="4"/>
        <v>#VALUE!</v>
      </c>
    </row>
    <row r="42">
      <c r="R42" s="9">
        <f t="shared" si="3"/>
        <v>0</v>
      </c>
      <c r="S42" s="9" t="str">
        <f t="shared" si="4"/>
        <v>#DIV/0!</v>
      </c>
    </row>
    <row r="43">
      <c r="R43" s="9">
        <f t="shared" si="3"/>
        <v>0</v>
      </c>
      <c r="S43" s="9" t="str">
        <f t="shared" si="4"/>
        <v>#DIV/0!</v>
      </c>
    </row>
    <row r="44">
      <c r="R44" s="9">
        <f t="shared" si="3"/>
        <v>0</v>
      </c>
      <c r="S44" s="9" t="str">
        <f t="shared" si="4"/>
        <v>#DIV/0!</v>
      </c>
    </row>
    <row r="45">
      <c r="R45" s="9">
        <f t="shared" si="3"/>
        <v>0</v>
      </c>
      <c r="S45" s="9" t="str">
        <f t="shared" si="4"/>
        <v>#DIV/0!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45.0"/>
    <col customWidth="1" min="5" max="5" width="39.25"/>
  </cols>
  <sheetData>
    <row r="1">
      <c r="A1" s="6" t="s">
        <v>200</v>
      </c>
      <c r="B1" s="6" t="s">
        <v>201</v>
      </c>
      <c r="C1" s="6" t="s">
        <v>202</v>
      </c>
      <c r="D1" s="6" t="s">
        <v>203</v>
      </c>
      <c r="E1" s="6" t="s">
        <v>140</v>
      </c>
      <c r="F1" s="6" t="s">
        <v>142</v>
      </c>
      <c r="G1" s="6" t="s">
        <v>204</v>
      </c>
      <c r="H1" s="6" t="s">
        <v>205</v>
      </c>
    </row>
    <row r="2">
      <c r="A2" s="6" t="s">
        <v>206</v>
      </c>
      <c r="B2" s="6" t="s">
        <v>207</v>
      </c>
      <c r="E2" s="6" t="s">
        <v>208</v>
      </c>
      <c r="F2" s="6" t="s">
        <v>160</v>
      </c>
      <c r="G2" s="6">
        <v>40.0</v>
      </c>
    </row>
    <row r="4">
      <c r="A4" s="6" t="s">
        <v>209</v>
      </c>
      <c r="B4" s="6" t="s">
        <v>210</v>
      </c>
      <c r="F4" s="6" t="s">
        <v>160</v>
      </c>
      <c r="G4" s="6">
        <v>35.0</v>
      </c>
    </row>
    <row r="5">
      <c r="A5" s="6" t="s">
        <v>211</v>
      </c>
      <c r="B5" s="6" t="s">
        <v>212</v>
      </c>
      <c r="F5" s="6" t="s">
        <v>173</v>
      </c>
      <c r="G5" s="6">
        <v>45.0</v>
      </c>
    </row>
    <row r="6">
      <c r="A6" s="6" t="s">
        <v>213</v>
      </c>
      <c r="B6" s="6" t="s">
        <v>214</v>
      </c>
      <c r="D6" s="6" t="s">
        <v>215</v>
      </c>
      <c r="F6" s="6" t="s">
        <v>173</v>
      </c>
      <c r="G6" s="6">
        <v>50.0</v>
      </c>
      <c r="H6" s="6" t="s">
        <v>216</v>
      </c>
    </row>
    <row r="7">
      <c r="A7" s="6" t="s">
        <v>217</v>
      </c>
      <c r="B7" s="6" t="s">
        <v>218</v>
      </c>
      <c r="F7" s="6" t="s">
        <v>176</v>
      </c>
      <c r="G7" s="6">
        <v>60.0</v>
      </c>
    </row>
    <row r="8">
      <c r="A8" s="6" t="s">
        <v>219</v>
      </c>
      <c r="C8" s="6" t="s">
        <v>220</v>
      </c>
      <c r="E8" s="6" t="s">
        <v>221</v>
      </c>
      <c r="F8" s="6" t="s">
        <v>182</v>
      </c>
      <c r="G8" s="6">
        <v>100.0</v>
      </c>
    </row>
    <row r="10">
      <c r="A10" s="6" t="s">
        <v>222</v>
      </c>
      <c r="B10" s="6" t="s">
        <v>223</v>
      </c>
      <c r="E10" s="6" t="s">
        <v>224</v>
      </c>
      <c r="F10" s="6" t="s">
        <v>185</v>
      </c>
      <c r="G10" s="6">
        <v>140.0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8.25"/>
    <col customWidth="1" min="3" max="3" width="13.13"/>
    <col customWidth="1" min="4" max="4" width="11.75"/>
    <col customWidth="1" min="5" max="5" width="48.5"/>
    <col customWidth="1" min="6" max="6" width="9.75"/>
    <col customWidth="1" min="7" max="7" width="10.5"/>
    <col customWidth="1" min="8" max="8" width="5.88"/>
  </cols>
  <sheetData>
    <row r="1">
      <c r="A1" s="6" t="s">
        <v>200</v>
      </c>
      <c r="B1" s="6" t="s">
        <v>201</v>
      </c>
      <c r="C1" s="6" t="s">
        <v>202</v>
      </c>
      <c r="D1" s="6" t="s">
        <v>203</v>
      </c>
      <c r="E1" s="6" t="s">
        <v>140</v>
      </c>
      <c r="F1" s="6" t="s">
        <v>142</v>
      </c>
      <c r="G1" s="6" t="s">
        <v>204</v>
      </c>
      <c r="H1" s="6" t="s">
        <v>205</v>
      </c>
    </row>
    <row r="2">
      <c r="A2" s="6" t="s">
        <v>225</v>
      </c>
      <c r="B2" s="6" t="s">
        <v>226</v>
      </c>
      <c r="C2" s="6" t="s">
        <v>150</v>
      </c>
      <c r="D2" s="6" t="s">
        <v>227</v>
      </c>
      <c r="E2" s="6" t="s">
        <v>150</v>
      </c>
      <c r="F2" s="6" t="s">
        <v>228</v>
      </c>
      <c r="G2" s="6">
        <v>30.0</v>
      </c>
    </row>
    <row r="3">
      <c r="A3" s="6" t="s">
        <v>229</v>
      </c>
      <c r="B3" s="6" t="s">
        <v>230</v>
      </c>
      <c r="C3" s="6" t="s">
        <v>150</v>
      </c>
      <c r="D3" s="6" t="s">
        <v>150</v>
      </c>
      <c r="E3" s="6" t="s">
        <v>150</v>
      </c>
      <c r="F3" s="6" t="s">
        <v>160</v>
      </c>
      <c r="G3" s="6">
        <v>32.0</v>
      </c>
    </row>
    <row r="4">
      <c r="A4" s="6" t="s">
        <v>231</v>
      </c>
      <c r="B4" s="6" t="s">
        <v>21</v>
      </c>
      <c r="C4" s="6" t="s">
        <v>150</v>
      </c>
      <c r="D4" s="6" t="s">
        <v>232</v>
      </c>
      <c r="E4" s="6" t="s">
        <v>233</v>
      </c>
      <c r="F4" s="6" t="s">
        <v>160</v>
      </c>
      <c r="G4" s="6">
        <v>35.0</v>
      </c>
    </row>
    <row r="5">
      <c r="A5" s="6" t="s">
        <v>234</v>
      </c>
      <c r="B5" s="6" t="s">
        <v>44</v>
      </c>
      <c r="C5" s="6" t="s">
        <v>150</v>
      </c>
      <c r="D5" s="6" t="s">
        <v>235</v>
      </c>
      <c r="E5" s="6" t="s">
        <v>150</v>
      </c>
      <c r="F5" s="6" t="s">
        <v>173</v>
      </c>
      <c r="G5" s="6">
        <v>40.0</v>
      </c>
    </row>
    <row r="6">
      <c r="A6" s="6" t="s">
        <v>236</v>
      </c>
      <c r="B6" s="6" t="s">
        <v>237</v>
      </c>
      <c r="C6" s="6" t="s">
        <v>238</v>
      </c>
      <c r="D6" s="6" t="s">
        <v>239</v>
      </c>
      <c r="E6" s="6" t="s">
        <v>240</v>
      </c>
      <c r="F6" s="6" t="s">
        <v>166</v>
      </c>
      <c r="G6" s="6">
        <v>50.0</v>
      </c>
    </row>
    <row r="7">
      <c r="A7" s="6" t="s">
        <v>241</v>
      </c>
      <c r="B7" s="6" t="s">
        <v>242</v>
      </c>
      <c r="C7" s="6" t="s">
        <v>242</v>
      </c>
      <c r="D7" s="6" t="s">
        <v>242</v>
      </c>
      <c r="E7" s="6" t="s">
        <v>243</v>
      </c>
      <c r="F7" s="6" t="s">
        <v>166</v>
      </c>
      <c r="G7" s="6">
        <v>50.0</v>
      </c>
    </row>
    <row r="8">
      <c r="A8" s="6" t="s">
        <v>244</v>
      </c>
      <c r="B8" s="6" t="s">
        <v>70</v>
      </c>
      <c r="D8" s="6" t="s">
        <v>245</v>
      </c>
      <c r="F8" s="6" t="s">
        <v>166</v>
      </c>
      <c r="G8" s="6">
        <v>50.0</v>
      </c>
    </row>
    <row r="9">
      <c r="A9" s="6" t="s">
        <v>246</v>
      </c>
      <c r="B9" s="6" t="s">
        <v>247</v>
      </c>
      <c r="C9" s="6" t="s">
        <v>248</v>
      </c>
      <c r="D9" s="6" t="s">
        <v>227</v>
      </c>
      <c r="E9" s="6" t="s">
        <v>249</v>
      </c>
      <c r="F9" s="6" t="s">
        <v>176</v>
      </c>
      <c r="G9" s="6">
        <v>70.0</v>
      </c>
    </row>
    <row r="10">
      <c r="A10" s="6" t="s">
        <v>250</v>
      </c>
      <c r="B10" s="6" t="s">
        <v>251</v>
      </c>
      <c r="E10" s="6" t="s">
        <v>150</v>
      </c>
      <c r="F10" s="6" t="s">
        <v>176</v>
      </c>
      <c r="G10" s="6">
        <v>65.0</v>
      </c>
    </row>
    <row r="11">
      <c r="A11" s="6" t="s">
        <v>252</v>
      </c>
      <c r="E11" s="6" t="s">
        <v>253</v>
      </c>
      <c r="F11" s="6" t="s">
        <v>176</v>
      </c>
      <c r="G11" s="6">
        <v>70.0</v>
      </c>
    </row>
    <row r="12">
      <c r="A12" s="6" t="s">
        <v>254</v>
      </c>
      <c r="B12" s="6" t="s">
        <v>255</v>
      </c>
      <c r="D12" s="6" t="s">
        <v>256</v>
      </c>
      <c r="E12" s="6" t="s">
        <v>257</v>
      </c>
      <c r="F12" s="6" t="s">
        <v>182</v>
      </c>
      <c r="G12" s="6">
        <v>95.0</v>
      </c>
    </row>
    <row r="13">
      <c r="A13" s="6" t="s">
        <v>258</v>
      </c>
      <c r="B13" s="6" t="s">
        <v>259</v>
      </c>
      <c r="C13" s="6" t="s">
        <v>260</v>
      </c>
      <c r="D13" s="6" t="s">
        <v>261</v>
      </c>
      <c r="E13" s="6" t="s">
        <v>262</v>
      </c>
      <c r="F13" s="6" t="s">
        <v>185</v>
      </c>
      <c r="G13" s="6">
        <v>180.0</v>
      </c>
    </row>
  </sheetData>
  <drawing r:id="rId1"/>
</worksheet>
</file>